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_P_L" sheetId="2" state="visible" r:id="rId2"/>
    <sheet name="Unit_Economics" sheetId="3" state="visible" r:id="rId3"/>
    <sheet name="Pricing" sheetId="4" state="visible" r:id="rId4"/>
    <sheet name="GTM_ICP" sheetId="5" state="visible" r:id="rId5"/>
    <sheet name="Readiness" sheetId="6" state="visible" r:id="rId6"/>
    <sheet name="Risks" sheetId="7" state="visible" r:id="rId7"/>
    <sheet name="KP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parameter_key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tenant_count</t>
        </is>
      </c>
      <c r="B2" t="inlineStr">
        <is>
          <t>100</t>
        </is>
      </c>
      <c r="C2" t="inlineStr">
        <is>
          <t>count</t>
        </is>
      </c>
      <c r="D2" t="inlineStr">
        <is>
          <t>Paying customers (example)</t>
        </is>
      </c>
    </row>
    <row r="3">
      <c r="A3" t="inlineStr">
        <is>
          <t>days_per_month</t>
        </is>
      </c>
      <c r="B3" t="inlineStr">
        <is>
          <t>30</t>
        </is>
      </c>
      <c r="C3" t="inlineStr">
        <is>
          <t>days</t>
        </is>
      </c>
      <c r="D3" t="inlineStr"/>
    </row>
    <row r="4">
      <c r="A4" t="inlineStr">
        <is>
          <t>jobs_per_tenant_per_day</t>
        </is>
      </c>
      <c r="B4" t="inlineStr">
        <is>
          <t>50</t>
        </is>
      </c>
      <c r="C4" t="inlineStr">
        <is>
          <t>count</t>
        </is>
      </c>
      <c r="D4" t="inlineStr">
        <is>
          <t>Agent/copilot jobs per tenant per day</t>
        </is>
      </c>
    </row>
    <row r="5">
      <c r="A5" t="inlineStr">
        <is>
          <t>tokens_in_per_job</t>
        </is>
      </c>
      <c r="B5" t="inlineStr">
        <is>
          <t>4000</t>
        </is>
      </c>
      <c r="C5" t="inlineStr">
        <is>
          <t>tokens</t>
        </is>
      </c>
      <c r="D5" t="inlineStr"/>
    </row>
    <row r="6">
      <c r="A6" t="inlineStr">
        <is>
          <t>tokens_out_per_job</t>
        </is>
      </c>
      <c r="B6" t="inlineStr">
        <is>
          <t>800</t>
        </is>
      </c>
      <c r="C6" t="inlineStr">
        <is>
          <t>tokens</t>
        </is>
      </c>
      <c r="D6" t="inlineStr"/>
    </row>
    <row r="7">
      <c r="A7" t="inlineStr">
        <is>
          <t>llm_price_in_per_million_tokens</t>
        </is>
      </c>
      <c r="B7" t="inlineStr">
        <is>
          <t>0.50</t>
        </is>
      </c>
      <c r="C7" t="inlineStr">
        <is>
          <t>USD_per_1M_tokens</t>
        </is>
      </c>
      <c r="D7" t="inlineStr">
        <is>
          <t>Your blended cost if you pay the provider</t>
        </is>
      </c>
    </row>
    <row r="8">
      <c r="A8" t="inlineStr">
        <is>
          <t>llm_price_out_per_million_tokens</t>
        </is>
      </c>
      <c r="B8" t="inlineStr">
        <is>
          <t>1.50</t>
        </is>
      </c>
      <c r="C8" t="inlineStr">
        <is>
          <t>USD_per_1M_tokens</t>
        </is>
      </c>
      <c r="D8" t="inlineStr"/>
    </row>
    <row r="9">
      <c r="A9" t="inlineStr">
        <is>
          <t>storage_gb_per_tenant_month</t>
        </is>
      </c>
      <c r="B9" t="inlineStr">
        <is>
          <t>25</t>
        </is>
      </c>
      <c r="C9" t="inlineStr">
        <is>
          <t>GB_month</t>
        </is>
      </c>
      <c r="D9" t="inlineStr">
        <is>
          <t>Audit logs artifacts embeddings (illustrative)</t>
        </is>
      </c>
    </row>
    <row r="10">
      <c r="A10" t="inlineStr">
        <is>
          <t>storage_usd_per_gb_month</t>
        </is>
      </c>
      <c r="B10" t="inlineStr">
        <is>
          <t>0.023</t>
        </is>
      </c>
      <c r="C10" t="inlineStr">
        <is>
          <t>USD_per_GB_month</t>
        </is>
      </c>
      <c r="D10" t="inlineStr">
        <is>
          <t>Object storage class blended</t>
        </is>
      </c>
    </row>
    <row r="11">
      <c r="A11" t="inlineStr">
        <is>
          <t>egress_gb_per_tenant_month</t>
        </is>
      </c>
      <c r="B11" t="inlineStr">
        <is>
          <t>5</t>
        </is>
      </c>
      <c r="C11" t="inlineStr">
        <is>
          <t>GB_month</t>
        </is>
      </c>
      <c r="D11" t="inlineStr">
        <is>
          <t>Exports portal downloads</t>
        </is>
      </c>
    </row>
    <row r="12">
      <c r="A12" t="inlineStr">
        <is>
          <t>egress_usd_per_gb</t>
        </is>
      </c>
      <c r="B12" t="inlineStr">
        <is>
          <t>0.09</t>
        </is>
      </c>
      <c r="C12" t="inlineStr">
        <is>
          <t>USD_per_GB</t>
        </is>
      </c>
      <c r="D12" t="inlineStr">
        <is>
          <t>Internet egress illustrative</t>
        </is>
      </c>
    </row>
    <row r="13">
      <c r="A13" t="inlineStr">
        <is>
          <t>shared_vcpu_for_app_pool</t>
        </is>
      </c>
      <c r="B13" t="inlineStr">
        <is>
          <t>16</t>
        </is>
      </c>
      <c r="C13" t="inlineStr">
        <is>
          <t>vCPU</t>
        </is>
      </c>
      <c r="D13" t="inlineStr">
        <is>
          <t>Shared multitenant app and workers (illustrative)</t>
        </is>
      </c>
    </row>
    <row r="14">
      <c r="A14" t="inlineStr">
        <is>
          <t>vcpu_hour_usd</t>
        </is>
      </c>
      <c r="B14" t="inlineStr">
        <is>
          <t>0.04</t>
        </is>
      </c>
      <c r="C14" t="inlineStr">
        <is>
          <t>USD_per_vcpu_hour</t>
        </is>
      </c>
      <c r="D14" t="inlineStr">
        <is>
          <t>Simplify: flat rate times vCPU-hours</t>
        </is>
      </c>
    </row>
    <row r="15">
      <c r="A15" t="inlineStr">
        <is>
          <t>managed_db_usd_month</t>
        </is>
      </c>
      <c r="B15" t="inlineStr">
        <is>
          <t>200</t>
        </is>
      </c>
      <c r="C15" t="inlineStr">
        <is>
          <t>USD_month</t>
        </is>
      </c>
      <c r="D15" t="inlineStr">
        <is>
          <t>Postgres or equivalent managed primary</t>
        </is>
      </c>
    </row>
    <row r="16">
      <c r="A16" t="inlineStr">
        <is>
          <t>fixed_saas_overhead_usd_month</t>
        </is>
      </c>
      <c r="B16" t="inlineStr">
        <is>
          <t>500</t>
        </is>
      </c>
      <c r="C16" t="inlineStr">
        <is>
          <t>USD_month</t>
        </is>
      </c>
      <c r="D16" t="inlineStr">
        <is>
          <t>Auth, email, CI, observability, misc vendors</t>
        </is>
      </c>
    </row>
    <row r="17">
      <c r="A17" t="inlineStr">
        <is>
          <t>revenue_per_tenant_month</t>
        </is>
      </c>
      <c r="B17" t="inlineStr">
        <is>
          <t>98</t>
        </is>
      </c>
      <c r="C17" t="inlineStr">
        <is>
          <t>USD_month</t>
        </is>
      </c>
      <c r="D17" t="inlineStr">
        <is>
          <t>Illustrative: e.g. 2 seats at 49</t>
        </is>
      </c>
    </row>
    <row r="18">
      <c r="A18" t="inlineStr">
        <is>
          <t>stripe_fee_percent</t>
        </is>
      </c>
      <c r="B18" t="inlineStr">
        <is>
          <t>0.029</t>
        </is>
      </c>
      <c r="C18" t="inlineStr">
        <is>
          <t>ratio</t>
        </is>
      </c>
      <c r="D18" t="inlineStr">
        <is>
          <t>Card processing percent</t>
        </is>
      </c>
    </row>
    <row r="19">
      <c r="A19" t="inlineStr">
        <is>
          <t>stripe_fixed_usd_per_charge</t>
        </is>
      </c>
      <c r="B19" t="inlineStr">
        <is>
          <t>0.30</t>
        </is>
      </c>
      <c r="C19" t="inlineStr">
        <is>
          <t>USD_per_successful_charge</t>
        </is>
      </c>
      <c r="D19" t="inlineStr"/>
    </row>
    <row r="20">
      <c r="A20" t="inlineStr">
        <is>
          <t>headcount_fte_sales</t>
        </is>
      </c>
      <c r="B20" t="inlineStr">
        <is>
          <t>0</t>
        </is>
      </c>
      <c r="C20" t="inlineStr">
        <is>
          <t>count</t>
        </is>
      </c>
      <c r="D20" t="inlineStr">
        <is>
          <t>FTE equivalents</t>
        </is>
      </c>
    </row>
    <row r="21">
      <c r="A21" t="inlineStr">
        <is>
          <t>headcount_fte_engineering</t>
        </is>
      </c>
      <c r="B21" t="inlineStr">
        <is>
          <t>1</t>
        </is>
      </c>
      <c r="C21" t="inlineStr">
        <is>
          <t>count</t>
        </is>
      </c>
      <c r="D21" t="inlineStr"/>
    </row>
    <row r="22">
      <c r="A22" t="inlineStr">
        <is>
          <t>headcount_fte_support</t>
        </is>
      </c>
      <c r="B22" t="inlineStr">
        <is>
          <t>0.25</t>
        </is>
      </c>
      <c r="C22" t="inlineStr">
        <is>
          <t>count</t>
        </is>
      </c>
      <c r="D22" t="inlineStr"/>
    </row>
    <row r="23">
      <c r="A23" t="inlineStr">
        <is>
          <t>fully_loaded_cost_usd_per_fte_month</t>
        </is>
      </c>
      <c r="B23" t="inlineStr">
        <is>
          <t>18000</t>
        </is>
      </c>
      <c r="C23" t="inlineStr">
        <is>
          <t>USD_month_per_FTE</t>
        </is>
      </c>
      <c r="D23" t="inlineStr">
        <is>
          <t>Salary+benefits+payroll tax+tools; adjust hard</t>
        </is>
      </c>
    </row>
    <row r="24">
      <c r="A24" t="inlineStr">
        <is>
          <t>legal_retainer_usd_month</t>
        </is>
      </c>
      <c r="B24" t="inlineStr">
        <is>
          <t>0</t>
        </is>
      </c>
      <c r="C24" t="inlineStr">
        <is>
          <t>USD_month</t>
        </is>
      </c>
      <c r="D24" t="inlineStr">
        <is>
          <t>Outside counsel placeholder</t>
        </is>
      </c>
    </row>
    <row r="25">
      <c r="A25" t="inlineStr">
        <is>
          <t>accounting_bookkeeping_usd_month</t>
        </is>
      </c>
      <c r="B25" t="inlineStr">
        <is>
          <t>500</t>
        </is>
      </c>
      <c r="C25" t="inlineStr">
        <is>
          <t>USD_month</t>
        </is>
      </c>
      <c r="D25" t="inlineStr"/>
    </row>
    <row r="26">
      <c r="A26" t="inlineStr">
        <is>
          <t>insurance_usd_month</t>
        </is>
      </c>
      <c r="B26" t="inlineStr">
        <is>
          <t>200</t>
        </is>
      </c>
      <c r="C26" t="inlineStr">
        <is>
          <t>USD_month</t>
        </is>
      </c>
      <c r="D26" t="inlineStr">
        <is>
          <t>GL+E&amp;O placeholder</t>
        </is>
      </c>
    </row>
    <row r="27">
      <c r="A27" t="inlineStr">
        <is>
          <t>runway_months_cash</t>
        </is>
      </c>
      <c r="B27" t="inlineStr">
        <is>
          <t>6</t>
        </is>
      </c>
      <c r="C27" t="inlineStr">
        <is>
          <t>months</t>
        </is>
      </c>
      <c r="D27" t="inlineStr">
        <is>
          <t>Cash you can burn without new revenue</t>
        </is>
      </c>
    </row>
    <row r="28">
      <c r="A28" t="inlineStr">
        <is>
          <t>founder_draw_usd_month</t>
        </is>
      </c>
      <c r="B28" t="inlineStr">
        <is>
          <t>8000</t>
        </is>
      </c>
      <c r="C28" t="inlineStr">
        <is>
          <t>USD_month</t>
        </is>
      </c>
      <c r="D28" t="inlineStr">
        <is>
          <t>Personal burn covered from business or savings</t>
        </is>
      </c>
    </row>
    <row r="29">
      <c r="A29" t="inlineStr">
        <is>
          <t>customer_acquisition_cost_usd</t>
        </is>
      </c>
      <c r="B29" t="inlineStr">
        <is>
          <t>500</t>
        </is>
      </c>
      <c r="C29" t="inlineStr">
        <is>
          <t>USD_per_customer</t>
        </is>
      </c>
      <c r="D29" t="inlineStr">
        <is>
          <t>Blended CAC placeholder</t>
        </is>
      </c>
    </row>
    <row r="30">
      <c r="A30" t="inlineStr">
        <is>
          <t>annual_churn_percent</t>
        </is>
      </c>
      <c r="B30" t="inlineStr">
        <is>
          <t>15</t>
        </is>
      </c>
      <c r="C30" t="inlineStr">
        <is>
          <t>percent_per_year</t>
        </is>
      </c>
      <c r="D30" t="inlineStr">
        <is>
          <t>Logo churn illustrative</t>
        </is>
      </c>
    </row>
    <row r="31">
      <c r="A31" t="inlineStr">
        <is>
          <t>support_tickets_per_tenant_month</t>
        </is>
      </c>
      <c r="B31" t="inlineStr">
        <is>
          <t>2</t>
        </is>
      </c>
      <c r="C31" t="inlineStr">
        <is>
          <t>count</t>
        </is>
      </c>
      <c r="D31" t="inlineStr">
        <is>
          <t>For staffing model</t>
        </is>
      </c>
    </row>
    <row r="32">
      <c r="A32" t="inlineStr">
        <is>
          <t>minutes_per_ticket</t>
        </is>
      </c>
      <c r="B32" t="inlineStr">
        <is>
          <t>25</t>
        </is>
      </c>
      <c r="C32" t="inlineStr">
        <is>
          <t>minutes</t>
        </is>
      </c>
      <c r="D32" t="inlineStr">
        <is>
          <t>Handle time illustrative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4" customWidth="1" min="2" max="2"/>
    <col width="22" customWidth="1" min="3" max="3"/>
    <col width="50" customWidth="1" min="4" max="4"/>
  </cols>
  <sheetData>
    <row r="1">
      <c r="A1" t="inlineStr">
        <is>
          <t>section</t>
        </is>
      </c>
      <c r="B1" t="inlineStr">
        <is>
          <t>line_item</t>
        </is>
      </c>
      <c r="C1" t="inlineStr">
        <is>
          <t>amount_usd</t>
        </is>
      </c>
      <c r="D1" t="inlineStr">
        <is>
          <t>driver_or_formula_notes</t>
        </is>
      </c>
    </row>
    <row r="2">
      <c r="A2" t="inlineStr">
        <is>
          <t>Revenue</t>
        </is>
      </c>
      <c r="B2" t="inlineStr">
        <is>
          <t>Subscription MRR</t>
        </is>
      </c>
      <c r="C2">
        <f>INDEX(Assumptions!$B:$B,MATCH("tenant_count",Assumptions!$A:$A,0))*INDEX(Assumptions!$B:$B,MATCH("revenue_per_tenant_month",Assumptions!$A:$A,0))</f>
        <v/>
      </c>
      <c r="D2" t="inlineStr">
        <is>
          <t>tenant_count * revenue_per_tenant_month</t>
        </is>
      </c>
    </row>
    <row r="3">
      <c r="A3" t="inlineStr">
        <is>
          <t>Revenue</t>
        </is>
      </c>
      <c r="B3" t="inlineStr">
        <is>
          <t>Professional services (one-time)</t>
        </is>
      </c>
      <c r="C3" t="n">
        <v>0</v>
      </c>
      <c r="D3" t="inlineStr">
        <is>
          <t>Edit if booked</t>
        </is>
      </c>
    </row>
    <row r="4">
      <c r="A4" t="inlineStr">
        <is>
          <t>Revenue</t>
        </is>
      </c>
      <c r="B4" t="inlineStr">
        <is>
          <t>Other</t>
        </is>
      </c>
      <c r="C4" t="n">
        <v>0</v>
      </c>
      <c r="D4" t="inlineStr">
        <is>
          <t>Optional</t>
        </is>
      </c>
    </row>
    <row r="6">
      <c r="A6" t="inlineStr">
        <is>
          <t>COGS</t>
        </is>
      </c>
      <c r="B6" t="inlineStr">
        <is>
          <t>LLM API (if you absorb)</t>
        </is>
      </c>
      <c r="C6">
        <f>INDEX(Assumptions!$B:$B,MATCH("tenant_count",Assumptions!$A:$A,0))*INDEX(Assumptions!$B:$B,MATCH("jobs_per_tenant_per_day",Assumptions!$A:$A,0))*INDEX(Assumptions!$B:$B,MATCH("days_per_month",Assumptions!$A:$A,0))*((INDEX(Assumptions!$B:$B,MATCH("tokens_in_per_job",Assumptions!$A:$A,0))/1000000)*INDEX(Assumptions!$B:$B,MATCH("llm_price_in_per_million_tokens",Assumptions!$A:$A,0))+(INDEX(Assumptions!$B:$B,MATCH("tokens_out_per_job",Assumptions!$A:$A,0))/1000000)*INDEX(Assumptions!$B:$B,MATCH("llm_price_out_per_million_tokens",Assumptions!$A:$A,0)))</f>
        <v/>
      </c>
      <c r="D6" t="inlineStr">
        <is>
          <t>Fleet token cost</t>
        </is>
      </c>
    </row>
    <row r="7">
      <c r="A7" t="inlineStr">
        <is>
          <t>COGS</t>
        </is>
      </c>
      <c r="B7" t="inlineStr">
        <is>
          <t>Object storage</t>
        </is>
      </c>
      <c r="C7">
        <f>INDEX(Assumptions!$B:$B,MATCH("tenant_count",Assumptions!$A:$A,0))*INDEX(Assumptions!$B:$B,MATCH("storage_gb_per_tenant_month",Assumptions!$A:$A,0))*INDEX(Assumptions!$B:$B,MATCH("storage_usd_per_gb_month",Assumptions!$A:$A,0))</f>
        <v/>
      </c>
    </row>
    <row r="8">
      <c r="A8" t="inlineStr">
        <is>
          <t>COGS</t>
        </is>
      </c>
      <c r="B8" t="inlineStr">
        <is>
          <t>Egress</t>
        </is>
      </c>
      <c r="C8">
        <f>INDEX(Assumptions!$B:$B,MATCH("tenant_count",Assumptions!$A:$A,0))*INDEX(Assumptions!$B:$B,MATCH("egress_gb_per_tenant_month",Assumptions!$A:$A,0))*INDEX(Assumptions!$B:$B,MATCH("egress_usd_per_gb",Assumptions!$A:$A,0))</f>
        <v/>
      </c>
    </row>
    <row r="9">
      <c r="A9" t="inlineStr">
        <is>
          <t>COGS</t>
        </is>
      </c>
      <c r="B9" t="inlineStr">
        <is>
          <t>Compute (shared pool)</t>
        </is>
      </c>
      <c r="C9">
        <f>INDEX(Assumptions!$B:$B,MATCH("shared_vcpu_for_app_pool",Assumptions!$A:$A,0))*24*INDEX(Assumptions!$B:$B,MATCH("days_per_month",Assumptions!$A:$A,0))*INDEX(Assumptions!$B:$B,MATCH("vcpu_hour_usd",Assumptions!$A:$A,0))</f>
        <v/>
      </c>
    </row>
    <row r="10">
      <c r="A10" t="inlineStr">
        <is>
          <t>COGS</t>
        </is>
      </c>
      <c r="B10" t="inlineStr">
        <is>
          <t>Managed database</t>
        </is>
      </c>
      <c r="C10">
        <f>INDEX(Assumptions!$B:$B,MATCH("managed_db_usd_month",Assumptions!$A:$A,0))</f>
        <v/>
      </c>
    </row>
    <row r="11">
      <c r="A11" t="inlineStr">
        <is>
          <t>COGS</t>
        </is>
      </c>
      <c r="B11" t="inlineStr">
        <is>
          <t>Fixed vendor overhead (COGS allocation)</t>
        </is>
      </c>
      <c r="C11">
        <f>INDEX(Assumptions!$B:$B,MATCH("fixed_saas_overhead_usd_month",Assumptions!$A:$A,0))</f>
        <v/>
      </c>
    </row>
    <row r="12">
      <c r="A12" t="inlineStr">
        <is>
          <t>COGS</t>
        </is>
      </c>
      <c r="B12" t="inlineStr">
        <is>
          <t>Payment processing fees</t>
        </is>
      </c>
      <c r="C12">
        <f>INDEX(Assumptions!$B:$B,MATCH("tenant_count",Assumptions!$A:$A,0))*(INDEX(Assumptions!$B:$B,MATCH("stripe_fee_percent",Assumptions!$A:$A,0))*INDEX(Assumptions!$B:$B,MATCH("revenue_per_tenant_month",Assumptions!$A:$A,0))+INDEX(Assumptions!$B:$B,MATCH("stripe_fixed_usd_per_charge",Assumptions!$A:$A,0)))</f>
        <v/>
      </c>
    </row>
    <row r="14">
      <c r="A14" t="inlineStr">
        <is>
          <t>Gross profit</t>
        </is>
      </c>
      <c r="B14" t="inlineStr">
        <is>
          <t>Gross profit (after COGS incl. payment fees)</t>
        </is>
      </c>
      <c r="C14">
        <f>SUM(C2:C4)-SUM(C6:C12)</f>
        <v/>
      </c>
    </row>
    <row r="16">
      <c r="A16" t="inlineStr">
        <is>
          <t>OpEx</t>
        </is>
      </c>
      <c r="B16" t="inlineStr">
        <is>
          <t>Payroll (fully loaded)</t>
        </is>
      </c>
      <c r="C16">
        <f>(INDEX(Assumptions!$B:$B,MATCH("headcount_fte_sales",Assumptions!$A:$A,0))+INDEX(Assumptions!$B:$B,MATCH("headcount_fte_engineering",Assumptions!$A:$A,0))+INDEX(Assumptions!$B:$B,MATCH("headcount_fte_support",Assumptions!$A:$A,0)))*INDEX(Assumptions!$B:$B,MATCH("fully_loaded_cost_usd_per_fte_month",Assumptions!$A:$A,0))</f>
        <v/>
      </c>
    </row>
    <row r="17">
      <c r="A17" t="inlineStr">
        <is>
          <t>OpEx</t>
        </is>
      </c>
      <c r="B17" t="inlineStr">
        <is>
          <t>Legal</t>
        </is>
      </c>
      <c r="C17">
        <f>INDEX(Assumptions!$B:$B,MATCH("legal_retainer_usd_month",Assumptions!$A:$A,0))</f>
        <v/>
      </c>
    </row>
    <row r="18">
      <c r="A18" t="inlineStr">
        <is>
          <t>OpEx</t>
        </is>
      </c>
      <c r="B18" t="inlineStr">
        <is>
          <t>Accounting</t>
        </is>
      </c>
      <c r="C18">
        <f>INDEX(Assumptions!$B:$B,MATCH("accounting_bookkeeping_usd_month",Assumptions!$A:$A,0))</f>
        <v/>
      </c>
    </row>
    <row r="19">
      <c r="A19" t="inlineStr">
        <is>
          <t>OpEx</t>
        </is>
      </c>
      <c r="B19" t="inlineStr">
        <is>
          <t>Insurance</t>
        </is>
      </c>
      <c r="C19">
        <f>INDEX(Assumptions!$B:$B,MATCH("insurance_usd_month",Assumptions!$A:$A,0))</f>
        <v/>
      </c>
    </row>
    <row r="20">
      <c r="A20" t="inlineStr">
        <is>
          <t>OpEx</t>
        </is>
      </c>
      <c r="B20" t="inlineStr">
        <is>
          <t>Marketing and demand gen</t>
        </is>
      </c>
      <c r="C20" t="n">
        <v>0</v>
      </c>
      <c r="D20" t="inlineStr">
        <is>
          <t>Edit as you spend</t>
        </is>
      </c>
    </row>
    <row r="21">
      <c r="A21" t="inlineStr">
        <is>
          <t>OpEx</t>
        </is>
      </c>
      <c r="B21" t="inlineStr">
        <is>
          <t>Travel and customer visits</t>
        </is>
      </c>
      <c r="C21" t="n">
        <v>0</v>
      </c>
    </row>
    <row r="22">
      <c r="A22" t="inlineStr">
        <is>
          <t>OpEx</t>
        </is>
      </c>
      <c r="B22" t="inlineStr">
        <is>
          <t>Software and tooling (non-COGS)</t>
        </is>
      </c>
      <c r="C22" t="n">
        <v>0</v>
      </c>
    </row>
    <row r="24">
      <c r="A24" t="inlineStr">
        <is>
          <t>EBITDA</t>
        </is>
      </c>
      <c r="B24" t="inlineStr">
        <is>
          <t>EBITDA (simplified)</t>
        </is>
      </c>
      <c r="C24">
        <f>C14-SUM(C16:C22)</f>
        <v/>
      </c>
    </row>
    <row r="25">
      <c r="A25" t="inlineStr">
        <is>
          <t>Cash</t>
        </is>
      </c>
      <c r="B25" t="inlineStr">
        <is>
          <t>Illustrative: cash impact vs EBITDA</t>
        </is>
      </c>
      <c r="C25" t="inlineStr">
        <is>
          <t>See runway model; link founder_draw and fundraising separately</t>
        </is>
      </c>
      <c r="D25" t="inlineStr">
        <is>
          <t>Not a full cash flow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2" max="2"/>
    <col width="22" customWidth="1" min="3" max="3"/>
    <col width="50" customWidth="1" min="4" max="4"/>
  </cols>
  <sheetData>
    <row r="1">
      <c r="A1" t="inlineStr">
        <is>
          <t>metric</t>
        </is>
      </c>
      <c r="B1" t="inlineStr">
        <is>
          <t>value_usd_or_count</t>
        </is>
      </c>
      <c r="C1" t="inlineStr">
        <is>
          <t>notes</t>
        </is>
      </c>
    </row>
    <row r="2">
      <c r="A2" t="inlineStr">
        <is>
          <t>Jobs per tenant per month</t>
        </is>
      </c>
      <c r="B2">
        <f>INDEX(Assumptions!$B:$B,MATCH("jobs_per_tenant_per_day",Assumptions!$A:$A,0))*INDEX(Assumptions!$B:$B,MATCH("days_per_month",Assumptions!$A:$A,0))</f>
        <v/>
      </c>
    </row>
    <row r="3">
      <c r="A3" t="inlineStr">
        <is>
          <t>Token cost per job</t>
        </is>
      </c>
      <c r="B3">
        <f>(INDEX(Assumptions!$B:$B,MATCH("tokens_in_per_job",Assumptions!$A:$A,0))/1000000)*INDEX(Assumptions!$B:$B,MATCH("llm_price_in_per_million_tokens",Assumptions!$A:$A,0))+(INDEX(Assumptions!$B:$B,MATCH("tokens_out_per_job",Assumptions!$A:$A,0))/1000000)*INDEX(Assumptions!$B:$B,MATCH("llm_price_out_per_million_tokens",Assumptions!$A:$A,0))</f>
        <v/>
      </c>
    </row>
    <row r="4">
      <c r="A4" t="inlineStr">
        <is>
          <t>LLM COGS per tenant per month</t>
        </is>
      </c>
      <c r="B4">
        <f>C2*C3</f>
        <v/>
      </c>
      <c r="C4" t="inlineStr">
        <is>
          <t>jobs/month * cost/job</t>
        </is>
      </c>
    </row>
    <row r="5">
      <c r="A5" t="inlineStr">
        <is>
          <t>Fleet LLM COGS per month</t>
        </is>
      </c>
      <c r="B5">
        <f>INDEX(Assumptions!$B:$B,MATCH("tenant_count",Assumptions!$A:$A,0))*C4</f>
        <v/>
      </c>
    </row>
    <row r="6">
      <c r="A6" t="inlineStr">
        <is>
          <t>Allocated compute per tenant (shared pool split)</t>
        </is>
      </c>
      <c r="B6">
        <f>(INDEX(Assumptions!$B:$B,MATCH("shared_vcpu_for_app_pool",Assumptions!$A:$A,0))*24*INDEX(Assumptions!$B:$B,MATCH("days_per_month",Assumptions!$A:$A,0))*INDEX(Assumptions!$B:$B,MATCH("vcpu_hour_usd",Assumptions!$A:$A,0)))/INDEX(Assumptions!$B:$B,MATCH("tenant_count",Assumptions!$A:$A,0))</f>
        <v/>
      </c>
    </row>
    <row r="7">
      <c r="A7" t="inlineStr">
        <is>
          <t>Storage + egress per tenant per month</t>
        </is>
      </c>
      <c r="B7">
        <f>INDEX(Assumptions!$B:$B,MATCH("storage_gb_per_tenant_month",Assumptions!$A:$A,0))*INDEX(Assumptions!$B:$B,MATCH("storage_usd_per_gb_month",Assumptions!$A:$A,0))+INDEX(Assumptions!$B:$B,MATCH("egress_gb_per_tenant_month",Assumptions!$A:$A,0))*INDEX(Assumptions!$B:$B,MATCH("egress_usd_per_gb",Assumptions!$A:$A,0))</f>
        <v/>
      </c>
    </row>
    <row r="8">
      <c r="A8" t="inlineStr">
        <is>
          <t>Variable COGS per tenant (LLM + storage + egress + allocated compute)</t>
        </is>
      </c>
      <c r="B8">
        <f>C4+C6+C7</f>
        <v/>
      </c>
    </row>
    <row r="9">
      <c r="A9" t="inlineStr">
        <is>
          <t>MRR per tenant</t>
        </is>
      </c>
      <c r="B9">
        <f>INDEX(Assumptions!$B:$B,MATCH("revenue_per_tenant_month",Assumptions!$A:$A,0))</f>
        <v/>
      </c>
    </row>
    <row r="10">
      <c r="A10" t="inlineStr">
        <is>
          <t>Contribution margin per tenant (MRR - variable COGS; excludes DB/overhead allocation)</t>
        </is>
      </c>
      <c r="B10">
        <f>C9-C8</f>
        <v/>
      </c>
    </row>
    <row r="11">
      <c r="A11" t="inlineStr">
        <is>
          <t>Simple LTV (revenue / monthly churn rate) — illustrative only</t>
        </is>
      </c>
      <c r="B11">
        <f>C9/((INDEX(Assumptions!$B:$B,MATCH("annual_churn_percent",Assumptions!$A:$A,0))/100)/12)</f>
        <v/>
      </c>
    </row>
    <row r="12">
      <c r="A12" t="inlineStr">
        <is>
          <t>CAC payback months (CAC / monthly contribution)</t>
        </is>
      </c>
      <c r="B12">
        <f>INDEX(Assumptions!$B:$B,MATCH("customer_acquisition_cost_usd",Assumptions!$A:$A,0))/C10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target_buyer</t>
        </is>
      </c>
      <c r="C1" t="inlineStr">
        <is>
          <t>price_anchor</t>
        </is>
      </c>
      <c r="D1" t="inlineStr">
        <is>
          <t>billing_model</t>
        </is>
      </c>
      <c r="E1" t="inlineStr">
        <is>
          <t>what_is_included</t>
        </is>
      </c>
      <c r="F1" t="inlineStr">
        <is>
          <t>hard_limits_or_caps</t>
        </is>
      </c>
      <c r="G1" t="inlineStr">
        <is>
          <t>notes</t>
        </is>
      </c>
    </row>
    <row r="2">
      <c r="A2" t="inlineStr">
        <is>
          <t>Starter</t>
        </is>
      </c>
      <c r="B2" t="inlineStr">
        <is>
          <t>Individual or small team self-serve</t>
        </is>
      </c>
      <c r="C2" t="inlineStr">
        <is>
          <t>49</t>
        </is>
      </c>
      <c r="D2" t="inlineStr">
        <is>
          <t>per seat per month</t>
        </is>
      </c>
      <c r="E2" t="inlineStr">
        <is>
          <t>Core portal + N jobs included</t>
        </is>
      </c>
      <c r="F2" t="inlineStr">
        <is>
          <t>Concurrency seats GB retention</t>
        </is>
      </c>
      <c r="G2" t="inlineStr">
        <is>
          <t>Define overage for jobs and tokens</t>
        </is>
      </c>
    </row>
    <row r="3">
      <c r="A3" t="inlineStr">
        <is>
          <t>Pro</t>
        </is>
      </c>
      <c r="B3" t="inlineStr">
        <is>
          <t>Team with SSO and audit needs</t>
        </is>
      </c>
      <c r="C3" t="inlineStr">
        <is>
          <t>149</t>
        </is>
      </c>
      <c r="D3" t="inlineStr">
        <is>
          <t>per seat per month</t>
        </is>
      </c>
      <c r="E3" t="inlineStr">
        <is>
          <t>SSO audit export longer retention</t>
        </is>
      </c>
      <c r="F3" t="inlineStr">
        <is>
          <t>Higher included credits</t>
        </is>
      </c>
      <c r="G3" t="inlineStr">
        <is>
          <t>Annual discount column in your real sheet</t>
        </is>
      </c>
    </row>
    <row r="4">
      <c r="A4" t="inlineStr">
        <is>
          <t>Enterprise</t>
        </is>
      </c>
      <c r="B4" t="inlineStr">
        <is>
          <t>Regulated or large org</t>
        </is>
      </c>
      <c r="C4" t="inlineStr">
        <is>
          <t>custom</t>
        </is>
      </c>
      <c r="D4" t="inlineStr">
        <is>
          <t>annual contract + minimum</t>
        </is>
      </c>
      <c r="E4" t="inlineStr">
        <is>
          <t>BYOC or dedicated VPC SLA named support</t>
        </is>
      </c>
      <c r="F4" t="inlineStr">
        <is>
          <t>Negotiated limits</t>
        </is>
      </c>
      <c r="G4" t="inlineStr">
        <is>
          <t>Maps to Nexo sovereignty story</t>
        </is>
      </c>
    </row>
    <row r="5">
      <c r="A5" t="inlineStr">
        <is>
          <t>Usage add-on</t>
        </is>
      </c>
      <c r="B5" t="inlineStr">
        <is>
          <t>Any</t>
        </is>
      </c>
      <c r="C5" t="inlineStr">
        <is>
          <t>0.00</t>
        </is>
      </c>
      <c r="D5" t="inlineStr">
        <is>
          <t>per 1k tokens or per job</t>
        </is>
      </c>
      <c r="E5" t="inlineStr">
        <is>
          <t>Pass-through or marked up</t>
        </is>
      </c>
      <c r="F5" t="inlineStr">
        <is>
          <t>Rate card</t>
        </is>
      </c>
      <c r="G5" t="inlineStr">
        <is>
          <t>Decide absorb vs BYOK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field</t>
        </is>
      </c>
      <c r="C1" t="inlineStr">
        <is>
          <t>draft_content</t>
        </is>
      </c>
    </row>
    <row r="2">
      <c r="A2" t="inlineStr">
        <is>
          <t>ICP</t>
        </is>
      </c>
      <c r="B2" t="inlineStr">
        <is>
          <t>Primary segment (pick one first)</t>
        </is>
      </c>
      <c r="C2" t="inlineStr">
        <is>
          <t>Security-conscious software teams needing auditable internal AI workflows on infrastructure they control</t>
        </is>
      </c>
    </row>
    <row r="3">
      <c r="A3" t="inlineStr">
        <is>
          <t>ICP</t>
        </is>
      </c>
      <c r="B3" t="inlineStr">
        <is>
          <t>Secondary segment</t>
        </is>
      </c>
      <c r="C3" t="inlineStr">
        <is>
          <t>Managed service providers packaging Nexo for clients</t>
        </is>
      </c>
    </row>
    <row r="4">
      <c r="A4" t="inlineStr">
        <is>
          <t>Positioning</t>
        </is>
      </c>
      <c r="B4" t="inlineStr">
        <is>
          <t>One-liner</t>
        </is>
      </c>
      <c r="C4" t="inlineStr">
        <is>
          <t>Private traceable AI workflows with enforced standards—not another generic chat wrapper</t>
        </is>
      </c>
    </row>
    <row r="5">
      <c r="A5" t="inlineStr">
        <is>
          <t>Proof</t>
        </is>
      </c>
      <c r="B5" t="inlineStr">
        <is>
          <t>Design partner offer</t>
        </is>
      </c>
      <c r="C5" t="inlineStr">
        <is>
          <t>Paid pilot: scope success metrics deployment model support hours</t>
        </is>
      </c>
    </row>
    <row r="6">
      <c r="A6" t="inlineStr">
        <is>
          <t>Channels</t>
        </is>
      </c>
      <c r="B6" t="inlineStr">
        <is>
          <t>Outbound</t>
        </is>
      </c>
      <c r="C6" t="inlineStr">
        <is>
          <t>LinkedIn email warm intros from users of air-gapped or compliance-heavy stacks</t>
        </is>
      </c>
    </row>
    <row r="7">
      <c r="A7" t="inlineStr">
        <is>
          <t>Channels</t>
        </is>
      </c>
      <c r="B7" t="inlineStr">
        <is>
          <t>Inbound</t>
        </is>
      </c>
      <c r="C7" t="inlineStr">
        <is>
          <t>Technical content on audit trails BYOC deployment patterns</t>
        </is>
      </c>
    </row>
    <row r="8">
      <c r="A8" t="inlineStr">
        <is>
          <t>Channels</t>
        </is>
      </c>
      <c r="B8" t="inlineStr">
        <is>
          <t>Community</t>
        </is>
      </c>
      <c r="C8" t="inlineStr">
        <is>
          <t>Open source users upgrading to support SLA</t>
        </is>
      </c>
    </row>
    <row r="9">
      <c r="A9" t="inlineStr">
        <is>
          <t>Sales motion</t>
        </is>
      </c>
      <c r="B9" t="inlineStr">
        <is>
          <t>Low touch</t>
        </is>
      </c>
      <c r="C9" t="inlineStr">
        <is>
          <t>Self-serve Starter with Stripe and clear limits</t>
        </is>
      </c>
    </row>
    <row r="10">
      <c r="A10" t="inlineStr">
        <is>
          <t>Sales motion</t>
        </is>
      </c>
      <c r="B10" t="inlineStr">
        <is>
          <t>High touch</t>
        </is>
      </c>
      <c r="C10" t="inlineStr">
        <is>
          <t>Enterprise security review architecture workshop</t>
        </is>
      </c>
    </row>
    <row r="11">
      <c r="A11" t="inlineStr">
        <is>
          <t>Success criteria</t>
        </is>
      </c>
      <c r="B11" t="inlineStr">
        <is>
          <t>Pilot complete</t>
        </is>
      </c>
      <c r="C11" t="inlineStr">
        <is>
          <t>Time-to-first audited job run in customer environment under policy 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item</t>
        </is>
      </c>
      <c r="C1" t="inlineStr">
        <is>
          <t>priority</t>
        </is>
      </c>
      <c r="D1" t="inlineStr">
        <is>
          <t>status_blank_todo_done</t>
        </is>
      </c>
      <c r="E1" t="inlineStr">
        <is>
          <t>owner_blank</t>
        </is>
      </c>
      <c r="F1" t="inlineStr">
        <is>
          <t>notes</t>
        </is>
      </c>
    </row>
    <row r="2">
      <c r="A2" t="inlineStr">
        <is>
          <t>Legal</t>
        </is>
      </c>
      <c r="B2" t="inlineStr">
        <is>
          <t>Entity formation and cap table</t>
        </is>
      </c>
      <c r="C2" t="inlineStr">
        <is>
          <t>P0</t>
        </is>
      </c>
      <c r="D2" t="inlineStr"/>
      <c r="E2" t="inlineStr"/>
      <c r="F2" t="inlineStr">
        <is>
          <t>Where you incorporate affects tax and contracts</t>
        </is>
      </c>
    </row>
    <row r="3">
      <c r="A3" t="inlineStr">
        <is>
          <t>Legal</t>
        </is>
      </c>
      <c r="B3" t="inlineStr">
        <is>
          <t>MSA and order form templates</t>
        </is>
      </c>
      <c r="C3" t="inlineStr">
        <is>
          <t>P0</t>
        </is>
      </c>
      <c r="D3" t="inlineStr"/>
      <c r="E3" t="inlineStr"/>
      <c r="F3" t="inlineStr">
        <is>
          <t>Limitation of liability indemnities SLA credits</t>
        </is>
      </c>
    </row>
    <row r="4">
      <c r="A4" t="inlineStr">
        <is>
          <t>Legal</t>
        </is>
      </c>
      <c r="B4" t="inlineStr">
        <is>
          <t>DPA and subprocessors list if you host data</t>
        </is>
      </c>
      <c r="C4" t="inlineStr">
        <is>
          <t>P0</t>
        </is>
      </c>
      <c r="D4" t="inlineStr"/>
      <c r="E4" t="inlineStr"/>
      <c r="F4" t="inlineStr">
        <is>
          <t>GDPR and state privacy laws</t>
        </is>
      </c>
    </row>
    <row r="5">
      <c r="A5" t="inlineStr">
        <is>
          <t>Legal</t>
        </is>
      </c>
      <c r="B5" t="inlineStr">
        <is>
          <t>Terms of Service and Privacy Policy for SaaS site</t>
        </is>
      </c>
      <c r="C5" t="inlineStr">
        <is>
          <t>P0</t>
        </is>
      </c>
      <c r="D5" t="inlineStr"/>
      <c r="E5" t="inlineStr"/>
      <c r="F5" t="inlineStr">
        <is>
          <t>Cookie consent if EU traffic</t>
        </is>
      </c>
    </row>
    <row r="6">
      <c r="A6" t="inlineStr">
        <is>
          <t>Legal</t>
        </is>
      </c>
      <c r="B6" t="inlineStr">
        <is>
          <t>Export classification if applicable</t>
        </is>
      </c>
      <c r="C6" t="inlineStr">
        <is>
          <t>P2</t>
        </is>
      </c>
      <c r="D6" t="inlineStr"/>
      <c r="E6" t="inlineStr"/>
      <c r="F6" t="inlineStr">
        <is>
          <t>Cryptography and dual-use when relevant</t>
        </is>
      </c>
    </row>
    <row r="7">
      <c r="A7" t="inlineStr">
        <is>
          <t>Product</t>
        </is>
      </c>
      <c r="B7" t="inlineStr">
        <is>
          <t>Multi-tenant isolation model documented</t>
        </is>
      </c>
      <c r="C7" t="inlineStr">
        <is>
          <t>P0</t>
        </is>
      </c>
      <c r="D7" t="inlineStr"/>
      <c r="E7" t="inlineStr"/>
      <c r="F7" t="inlineStr">
        <is>
          <t>Row-level vs schema vs cluster per tenant</t>
        </is>
      </c>
    </row>
    <row r="8">
      <c r="A8" t="inlineStr">
        <is>
          <t>Product</t>
        </is>
      </c>
      <c r="B8" t="inlineStr">
        <is>
          <t>Authentication SSO SAML OIDC</t>
        </is>
      </c>
      <c r="C8" t="inlineStr">
        <is>
          <t>P1</t>
        </is>
      </c>
      <c r="D8" t="inlineStr"/>
      <c r="E8" t="inlineStr"/>
      <c r="F8" t="inlineStr">
        <is>
          <t>Enterprise table stakes</t>
        </is>
      </c>
    </row>
    <row r="9">
      <c r="A9" t="inlineStr">
        <is>
          <t>Product</t>
        </is>
      </c>
      <c r="B9" t="inlineStr">
        <is>
          <t>Billing metering and entitlements</t>
        </is>
      </c>
      <c r="C9" t="inlineStr">
        <is>
          <t>P0</t>
        </is>
      </c>
      <c r="D9" t="inlineStr"/>
      <c r="E9" t="inlineStr"/>
      <c r="F9" t="inlineStr">
        <is>
          <t>Stripe Billing or equivalent usage aggregation</t>
        </is>
      </c>
    </row>
    <row r="10">
      <c r="A10" t="inlineStr">
        <is>
          <t>Product</t>
        </is>
      </c>
      <c r="B10" t="inlineStr">
        <is>
          <t>Usage dashboards for customer</t>
        </is>
      </c>
      <c r="C10" t="inlineStr">
        <is>
          <t>P1</t>
        </is>
      </c>
      <c r="D10" t="inlineStr"/>
      <c r="E10" t="inlineStr"/>
      <c r="F10" t="inlineStr">
        <is>
          <t>Transparency reduces disputes</t>
        </is>
      </c>
    </row>
    <row r="11">
      <c r="A11" t="inlineStr">
        <is>
          <t>Security</t>
        </is>
      </c>
      <c r="B11" t="inlineStr">
        <is>
          <t>SOC2 roadmap or ISO27001 if enterprise</t>
        </is>
      </c>
      <c r="C11" t="inlineStr">
        <is>
          <t>P1</t>
        </is>
      </c>
      <c r="D11" t="inlineStr"/>
      <c r="E11" t="inlineStr"/>
      <c r="F11" t="inlineStr">
        <is>
          <t>Many buyers require attestation or detailed SIG</t>
        </is>
      </c>
    </row>
    <row r="12">
      <c r="A12" t="inlineStr">
        <is>
          <t>Security</t>
        </is>
      </c>
      <c r="B12" t="inlineStr">
        <is>
          <t>Incident response runbook</t>
        </is>
      </c>
      <c r="C12" t="inlineStr">
        <is>
          <t>P0</t>
        </is>
      </c>
      <c r="D12" t="inlineStr"/>
      <c r="E12" t="inlineStr"/>
      <c r="F12" t="inlineStr">
        <is>
          <t>Who pages whom customer comms template</t>
        </is>
      </c>
    </row>
    <row r="13">
      <c r="A13" t="inlineStr">
        <is>
          <t>Security</t>
        </is>
      </c>
      <c r="B13" t="inlineStr">
        <is>
          <t>Secrets management rotation</t>
        </is>
      </c>
      <c r="C13" t="inlineStr">
        <is>
          <t>P0</t>
        </is>
      </c>
      <c r="D13" t="inlineStr"/>
      <c r="E13" t="inlineStr"/>
      <c r="F13" t="inlineStr">
        <is>
          <t>Per-tenant secrets if hosted</t>
        </is>
      </c>
    </row>
    <row r="14">
      <c r="A14" t="inlineStr">
        <is>
          <t>Security</t>
        </is>
      </c>
      <c r="B14" t="inlineStr">
        <is>
          <t>Vulnerability disclosure policy</t>
        </is>
      </c>
      <c r="C14" t="inlineStr">
        <is>
          <t>P1</t>
        </is>
      </c>
      <c r="D14" t="inlineStr"/>
      <c r="E14" t="inlineStr"/>
      <c r="F14" t="inlineStr"/>
    </row>
    <row r="15">
      <c r="A15" t="inlineStr">
        <is>
          <t>Operations</t>
        </is>
      </c>
      <c r="B15" t="inlineStr">
        <is>
          <t>Backups restore tested</t>
        </is>
      </c>
      <c r="C15" t="inlineStr">
        <is>
          <t>P0</t>
        </is>
      </c>
      <c r="D15" t="inlineStr"/>
      <c r="E15" t="inlineStr"/>
      <c r="F15" t="inlineStr">
        <is>
          <t>RPO RTO documented</t>
        </is>
      </c>
    </row>
    <row r="16">
      <c r="A16" t="inlineStr">
        <is>
          <t>Operations</t>
        </is>
      </c>
      <c r="B16" t="inlineStr">
        <is>
          <t>Status page and comms templates</t>
        </is>
      </c>
      <c r="C16" t="inlineStr">
        <is>
          <t>P1</t>
        </is>
      </c>
      <c r="D16" t="inlineStr"/>
      <c r="E16" t="inlineStr"/>
      <c r="F16" t="inlineStr"/>
    </row>
    <row r="17">
      <c r="A17" t="inlineStr">
        <is>
          <t>Operations</t>
        </is>
      </c>
      <c r="B17" t="inlineStr">
        <is>
          <t>Support tiers and SLAs</t>
        </is>
      </c>
      <c r="C17" t="inlineStr">
        <is>
          <t>P0</t>
        </is>
      </c>
      <c r="D17" t="inlineStr"/>
      <c r="E17" t="inlineStr"/>
      <c r="F17" t="inlineStr">
        <is>
          <t>Response times by severity</t>
        </is>
      </c>
    </row>
    <row r="18">
      <c r="A18" t="inlineStr">
        <is>
          <t>Operations</t>
        </is>
      </c>
      <c r="B18" t="inlineStr">
        <is>
          <t>On-call rotation if 24x7 promised</t>
        </is>
      </c>
      <c r="C18" t="inlineStr">
        <is>
          <t>P1</t>
        </is>
      </c>
      <c r="D18" t="inlineStr"/>
      <c r="E18" t="inlineStr"/>
      <c r="F18" t="inlineStr"/>
    </row>
    <row r="19">
      <c r="A19" t="inlineStr">
        <is>
          <t>Finance</t>
        </is>
      </c>
      <c r="B19" t="inlineStr">
        <is>
          <t>Chart of accounts and revenue recognition</t>
        </is>
      </c>
      <c r="C19" t="inlineStr">
        <is>
          <t>P0</t>
        </is>
      </c>
      <c r="D19" t="inlineStr"/>
      <c r="E19" t="inlineStr"/>
      <c r="F19" t="inlineStr">
        <is>
          <t>Annual vs monthly ASC606 basics with counsel</t>
        </is>
      </c>
    </row>
    <row r="20">
      <c r="A20" t="inlineStr">
        <is>
          <t>Finance</t>
        </is>
      </c>
      <c r="B20" t="inlineStr">
        <is>
          <t>Sales tax VAT GST if applicable</t>
        </is>
      </c>
      <c r="C20" t="inlineStr">
        <is>
          <t>P1</t>
        </is>
      </c>
      <c r="D20" t="inlineStr"/>
      <c r="E20" t="inlineStr"/>
      <c r="F20" t="inlineStr">
        <is>
          <t>Stripe Tax or Avalara</t>
        </is>
      </c>
    </row>
    <row r="21">
      <c r="A21" t="inlineStr">
        <is>
          <t>Finance</t>
        </is>
      </c>
      <c r="B21" t="inlineStr">
        <is>
          <t>Runway model linked to hiring plan</t>
        </is>
      </c>
      <c r="C21" t="inlineStr">
        <is>
          <t>P0</t>
        </is>
      </c>
      <c r="D21" t="inlineStr"/>
      <c r="E21" t="inlineStr"/>
      <c r="F21" t="inlineStr">
        <is>
          <t>Use Monthly_P_L tab</t>
        </is>
      </c>
    </row>
    <row r="22">
      <c r="A22" t="inlineStr">
        <is>
          <t>People</t>
        </is>
      </c>
      <c r="B22" t="inlineStr">
        <is>
          <t>Founder employment agreement IP assignment</t>
        </is>
      </c>
      <c r="C22" t="inlineStr">
        <is>
          <t>P0</t>
        </is>
      </c>
      <c r="D22" t="inlineStr"/>
      <c r="E22" t="inlineStr"/>
      <c r="F22" t="inlineStr">
        <is>
          <t>Clean chain of title to code</t>
        </is>
      </c>
    </row>
    <row r="23">
      <c r="A23" t="inlineStr">
        <is>
          <t>People</t>
        </is>
      </c>
      <c r="B23" t="inlineStr">
        <is>
          <t>Offer letters and equity templates</t>
        </is>
      </c>
      <c r="C23" t="inlineStr">
        <is>
          <t>P1</t>
        </is>
      </c>
      <c r="D23" t="inlineStr"/>
      <c r="E23" t="inlineStr"/>
      <c r="F23" t="inlineStr"/>
    </row>
    <row r="24">
      <c r="A24" t="inlineStr">
        <is>
          <t>GTM</t>
        </is>
      </c>
      <c r="B24" t="inlineStr">
        <is>
          <t>Pricing page and packaging</t>
        </is>
      </c>
      <c r="C24" t="inlineStr">
        <is>
          <t>P0</t>
        </is>
      </c>
      <c r="D24" t="inlineStr"/>
      <c r="E24" t="inlineStr"/>
      <c r="F24" t="inlineStr">
        <is>
          <t>See Pricing tab</t>
        </is>
      </c>
    </row>
    <row r="25">
      <c r="A25" t="inlineStr">
        <is>
          <t>GTM</t>
        </is>
      </c>
      <c r="B25" t="inlineStr">
        <is>
          <t>Security FAQ and architecture one-pager</t>
        </is>
      </c>
      <c r="C25" t="inlineStr">
        <is>
          <t>P0</t>
        </is>
      </c>
      <c r="D25" t="inlineStr"/>
      <c r="E25" t="inlineStr"/>
      <c r="F25" t="inlineStr">
        <is>
          <t>Shortens enterprise cycles</t>
        </is>
      </c>
    </row>
    <row r="26">
      <c r="A26" t="inlineStr">
        <is>
          <t>GTM</t>
        </is>
      </c>
      <c r="B26" t="inlineStr">
        <is>
          <t>Reference customers and case studies</t>
        </is>
      </c>
      <c r="C26" t="inlineStr">
        <is>
          <t>P1</t>
        </is>
      </c>
      <c r="D26" t="inlineStr"/>
      <c r="E26" t="inlineStr"/>
      <c r="F26" t="inlineStr">
        <is>
          <t>Even one strong logo helps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impact</t>
        </is>
      </c>
      <c r="C1" t="inlineStr">
        <is>
          <t>likelihood</t>
        </is>
      </c>
      <c r="D1" t="inlineStr">
        <is>
          <t>mitigation</t>
        </is>
      </c>
      <c r="E1" t="inlineStr">
        <is>
          <t>owner_blank</t>
        </is>
      </c>
    </row>
    <row r="2">
      <c r="A2" t="inlineStr">
        <is>
          <t>Heavy users erase margin on included LLM</t>
        </is>
      </c>
      <c r="B2" t="inlineStr">
        <is>
          <t>High</t>
        </is>
      </c>
      <c r="C2" t="inlineStr">
        <is>
          <t>Medium</t>
        </is>
      </c>
      <c r="D2" t="inlineStr">
        <is>
          <t>Meter jobs and tokens; BYOK tier; monthly minimums</t>
        </is>
      </c>
      <c r="E2" t="inlineStr">
        <is>
          <t>Product</t>
        </is>
      </c>
    </row>
    <row r="3">
      <c r="A3" t="inlineStr">
        <is>
          <t>Security incident erodes trust</t>
        </is>
      </c>
      <c r="B3" t="inlineStr">
        <is>
          <t>High</t>
        </is>
      </c>
      <c r="C3" t="inlineStr">
        <is>
          <t>Low</t>
        </is>
      </c>
      <c r="D3" t="inlineStr">
        <is>
          <t>Least privilege logging encryption IR plan insurance</t>
        </is>
      </c>
      <c r="E3" t="inlineStr">
        <is>
          <t>Security</t>
        </is>
      </c>
    </row>
    <row r="4">
      <c r="A4" t="inlineStr">
        <is>
          <t>Long enterprise sales cycles burn cash</t>
        </is>
      </c>
      <c r="B4" t="inlineStr">
        <is>
          <t>High</t>
        </is>
      </c>
      <c r="C4" t="inlineStr">
        <is>
          <t>Medium</t>
        </is>
      </c>
      <c r="D4" t="inlineStr">
        <is>
          <t>Paid pilots annual prepay services revenue</t>
        </is>
      </c>
      <c r="E4" t="inlineStr">
        <is>
          <t>GTM</t>
        </is>
      </c>
    </row>
    <row r="5">
      <c r="A5" t="inlineStr">
        <is>
          <t>Vendor lock-in to single LLM provider price spikes</t>
        </is>
      </c>
      <c r="B5" t="inlineStr">
        <is>
          <t>Medium</t>
        </is>
      </c>
      <c r="C5" t="inlineStr">
        <is>
          <t>Medium</t>
        </is>
      </c>
      <c r="D5" t="inlineStr">
        <is>
          <t>Multi-provider abstraction pass-through pricing</t>
        </is>
      </c>
      <c r="E5" t="inlineStr">
        <is>
          <t>Engineering</t>
        </is>
      </c>
    </row>
    <row r="6">
      <c r="A6" t="inlineStr">
        <is>
          <t>Scope creep on custom deployments</t>
        </is>
      </c>
      <c r="B6" t="inlineStr">
        <is>
          <t>Medium</t>
        </is>
      </c>
      <c r="C6" t="inlineStr">
        <is>
          <t>High</t>
        </is>
      </c>
      <c r="D6" t="inlineStr">
        <is>
          <t>Fixed SOWs change orders clear support boundaries</t>
        </is>
      </c>
      <c r="E6" t="inlineStr">
        <is>
          <t>CS</t>
        </is>
      </c>
    </row>
    <row r="7">
      <c r="A7" t="inlineStr">
        <is>
          <t>Key person dependency</t>
        </is>
      </c>
      <c r="B7" t="inlineStr">
        <is>
          <t>High</t>
        </is>
      </c>
      <c r="C7" t="inlineStr">
        <is>
          <t>Medium</t>
        </is>
      </c>
      <c r="D7" t="inlineStr">
        <is>
          <t>Documentation runbooks hire or contractor bench</t>
        </is>
      </c>
      <c r="E7" t="inlineStr">
        <is>
          <t>Ops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frequency</t>
        </is>
      </c>
      <c r="C1" t="inlineStr">
        <is>
          <t>target_blank</t>
        </is>
      </c>
      <c r="D1" t="inlineStr">
        <is>
          <t>actual_blank</t>
        </is>
      </c>
      <c r="E1" t="inlineStr">
        <is>
          <t>formula_or_data_source</t>
        </is>
      </c>
    </row>
    <row r="2">
      <c r="A2" t="inlineStr">
        <is>
          <t>MRR</t>
        </is>
      </c>
      <c r="B2" t="inlineStr">
        <is>
          <t>Monthly</t>
        </is>
      </c>
      <c r="C2" t="inlineStr"/>
      <c r="D2" t="inlineStr"/>
      <c r="E2" t="inlineStr">
        <is>
          <t>Sum of subscription revenue</t>
        </is>
      </c>
    </row>
    <row r="3">
      <c r="A3" t="inlineStr">
        <is>
          <t>Net new MRR</t>
        </is>
      </c>
      <c r="B3" t="inlineStr">
        <is>
          <t>Monthly</t>
        </is>
      </c>
      <c r="C3" t="inlineStr"/>
      <c r="D3" t="inlineStr"/>
      <c r="E3" t="inlineStr">
        <is>
          <t>New + expansion - contraction - churn</t>
        </is>
      </c>
    </row>
    <row r="4">
      <c r="A4" t="inlineStr">
        <is>
          <t>Logo churn</t>
        </is>
      </c>
      <c r="B4" t="inlineStr">
        <is>
          <t>Monthly</t>
        </is>
      </c>
      <c r="C4" t="inlineStr"/>
      <c r="D4" t="inlineStr"/>
      <c r="E4" t="inlineStr">
        <is>
          <t>Customers lost / starting customers</t>
        </is>
      </c>
    </row>
    <row r="5">
      <c r="A5" t="inlineStr">
        <is>
          <t>Revenue churn</t>
        </is>
      </c>
      <c r="B5" t="inlineStr">
        <is>
          <t>Monthly</t>
        </is>
      </c>
      <c r="C5" t="inlineStr"/>
      <c r="D5" t="inlineStr"/>
      <c r="E5" t="inlineStr">
        <is>
          <t>MRR lost from churned downsell / starting MRR</t>
        </is>
      </c>
    </row>
    <row r="6">
      <c r="A6" t="inlineStr">
        <is>
          <t>Gross margin percent</t>
        </is>
      </c>
      <c r="B6" t="inlineStr">
        <is>
          <t>Monthly</t>
        </is>
      </c>
      <c r="C6" t="inlineStr"/>
      <c r="D6" t="inlineStr"/>
      <c r="E6" t="inlineStr">
        <is>
          <t>(Revenue - COGS) / Revenue define COGS consistently</t>
        </is>
      </c>
    </row>
    <row r="7">
      <c r="A7" t="inlineStr">
        <is>
          <t>CAC</t>
        </is>
      </c>
      <c r="B7" t="inlineStr">
        <is>
          <t>Quarterly</t>
        </is>
      </c>
      <c r="C7" t="inlineStr"/>
      <c r="D7" t="inlineStr"/>
      <c r="E7" t="inlineStr">
        <is>
          <t>Sales+marketing spend / new customers in period</t>
        </is>
      </c>
    </row>
    <row r="8">
      <c r="A8" t="inlineStr">
        <is>
          <t>LTV to CAC ratio</t>
        </is>
      </c>
      <c r="B8" t="inlineStr">
        <is>
          <t>Quarterly</t>
        </is>
      </c>
      <c r="C8" t="inlineStr"/>
      <c r="D8" t="inlineStr"/>
      <c r="E8" t="inlineStr">
        <is>
          <t>Cohort LTV / CAC</t>
        </is>
      </c>
    </row>
    <row r="9">
      <c r="A9" t="inlineStr">
        <is>
          <t>Months payback</t>
        </is>
      </c>
      <c r="B9" t="inlineStr">
        <is>
          <t>Quarterly</t>
        </is>
      </c>
      <c r="C9" t="inlineStr"/>
      <c r="D9" t="inlineStr"/>
      <c r="E9" t="inlineStr">
        <is>
          <t>CAC / monthly gross margin per customer</t>
        </is>
      </c>
    </row>
    <row r="10">
      <c r="A10" t="inlineStr">
        <is>
          <t>NPS or CSAT</t>
        </is>
      </c>
      <c r="B10" t="inlineStr">
        <is>
          <t>Quarterly</t>
        </is>
      </c>
      <c r="C10" t="inlineStr"/>
      <c r="D10" t="inlineStr"/>
      <c r="E10" t="inlineStr">
        <is>
          <t>Survey after key workflow</t>
        </is>
      </c>
    </row>
    <row r="11">
      <c r="A11" t="inlineStr">
        <is>
          <t>P0 incidents</t>
        </is>
      </c>
      <c r="B11" t="inlineStr">
        <is>
          <t>Monthly</t>
        </is>
      </c>
      <c r="C11" t="inlineStr"/>
      <c r="D11" t="inlineStr"/>
      <c r="E11" t="inlineStr">
        <is>
          <t>Count from incident tracker</t>
        </is>
      </c>
    </row>
    <row r="12">
      <c r="A12" t="inlineStr">
        <is>
          <t>Mean time to restore</t>
        </is>
      </c>
      <c r="B12" t="inlineStr">
        <is>
          <t>Monthly</t>
        </is>
      </c>
      <c r="C12" t="inlineStr"/>
      <c r="D12" t="inlineStr"/>
      <c r="E12" t="inlineStr">
        <is>
          <t>From incident data</t>
        </is>
      </c>
    </row>
    <row r="13">
      <c r="A13" t="inlineStr">
        <is>
          <t>Gross burn</t>
        </is>
      </c>
      <c r="B13" t="inlineStr">
        <is>
          <t>Monthly</t>
        </is>
      </c>
      <c r="C13" t="inlineStr"/>
      <c r="D13" t="inlineStr"/>
      <c r="E13" t="inlineStr">
        <is>
          <t>Cash out excluding fundraising</t>
        </is>
      </c>
    </row>
    <row r="14">
      <c r="A14" t="inlineStr">
        <is>
          <t>Runway months</t>
        </is>
      </c>
      <c r="B14" t="inlineStr">
        <is>
          <t>Monthly</t>
        </is>
      </c>
      <c r="C14" t="inlineStr"/>
      <c r="D14" t="inlineStr"/>
      <c r="E14" t="inlineStr">
        <is>
          <t>Cash / gross 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2026-04-21T01:21:28Z</dcterms:created>
  <dcterms:modified xsi:type="dcterms:W3CDTF">2026-04-21T01:21:28Z</dcterms:modified>
</cp:coreProperties>
</file>